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03e8a4438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a2ca49f7c2491d"/>
    <x:sheet xmlns:r="http://schemas.openxmlformats.org/officeDocument/2006/relationships" name="Updated Gantt" sheetId="2" r:id="R485a561fcaf14708"/>
    <x:sheet xmlns:r="http://schemas.openxmlformats.org/officeDocument/2006/relationships" name="Critical Path Analysis" sheetId="3" r:id="Refccb3948e9d42b1"/>
    <x:sheet xmlns:r="http://schemas.openxmlformats.org/officeDocument/2006/relationships" name="PERT Analysis" sheetId="4" r:id="R4526b59aa86c45a0"/>
    <x:sheet xmlns:r="http://schemas.openxmlformats.org/officeDocument/2006/relationships" name="Screenshot Evidence" sheetId="5" r:id="R8310de7b9dad4f1c"/>
    <x:sheet xmlns:r="http://schemas.openxmlformats.org/officeDocument/2006/relationships" name="Change Log" sheetId="6" r:id="R31ce2c48b901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B3B"/>
      <x:name val="Carlito"/>
    </x:font>
    <x:font>
      <x:b/>
      <x:sz val="11"/>
      <x:color rgb="FFFFFFFF"/>
      <x:name val="Carlito"/>
    </x:font>
    <x:font>
      <x:b/>
      <x:sz val="11"/>
      <x:color rgb="FF2F6F4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B3B"/>
      </x:patternFill>
    </x:fill>
    <x:fill>
      <x:patternFill patternType="solid">
        <x:fgColor rgb="FFDBE8D0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/>
    <x:xf numFmtId="0" fontId="2" fillId="3" borderId="8" xfId="0" applyNumberFormat="1" applyFont="1" applyFill="1" applyBorder="1"/>
    <x:xf numFmtId="0" fontId="2" fillId="3" borderId="14" xfId="0" applyNumberFormat="1" applyFont="1" applyFill="1" applyBorder="1"/>
    <x:xf numFmtId="0" fontId="2" fillId="3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6" xfId="0" applyNumberFormat="1" applyFont="1" applyFill="1" applyBorder="1"/>
    <x:xf numFmtId="202" fontId="0" fillId="0" borderId="15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B85C38"/>
      </x:font>
      <x:fill>
        <x:patternFill patternType="solid">
          <x:bgColor rgb="FFF5EAD5"/>
        </x:patternFill>
      </x:fill>
    </x:dxf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B85C38"/>
      </x:font>
      <x:fill>
        <x:patternFill patternType="solid">
          <x:bgColor rgb="FFF5EAD5"/>
        </x:patternFill>
      </x:fill>
    </x:dxf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B85C38"/>
      </x:font>
      <x:fill>
        <x:patternFill patternType="solid">
          <x:bgColor rgb="FFF5EAD5"/>
        </x:patternFill>
      </x:fill>
    </x:dxf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2F6F4E"/>
      </x:font>
      <x:fill>
        <x:patternFill patternType="solid">
          <x:bgColor rgb="FFDBE8D0"/>
        </x:patternFill>
      </x:fill>
    </x:dxf>
    <x:dxf>
      <x:font>
        <x:b/>
        <x:color rgb="FFB85C38"/>
      </x:font>
      <x:fill>
        <x:patternFill patternType="solid"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276cef9cc459b" /><Relationship Type="http://schemas.openxmlformats.org/officeDocument/2006/relationships/theme" Target="/xl/theme/theme1.xml" Id="R6e3748e300dd4b53" /><Relationship Type="http://schemas.openxmlformats.org/officeDocument/2006/relationships/sharedStrings" Target="/xl/sharedStrings.xml" Id="Rad35ccfc0a8044ac" /><Relationship Type="http://schemas.openxmlformats.org/officeDocument/2006/relationships/worksheet" Target="/xl/worksheets/sheet1.xml" Id="R69a2ca49f7c2491d" /><Relationship Type="http://schemas.openxmlformats.org/officeDocument/2006/relationships/worksheet" Target="/xl/worksheets/sheet2.xml" Id="R485a561fcaf14708" /><Relationship Type="http://schemas.openxmlformats.org/officeDocument/2006/relationships/worksheet" Target="/xl/worksheets/sheet3.xml" Id="Refccb3948e9d42b1" /><Relationship Type="http://schemas.openxmlformats.org/officeDocument/2006/relationships/worksheet" Target="/xl/worksheets/sheet4.xml" Id="R4526b59aa86c45a0" /><Relationship Type="http://schemas.openxmlformats.org/officeDocument/2006/relationships/worksheet" Target="/xl/worksheets/sheet5.xml" Id="R8310de7b9dad4f1c" /><Relationship Type="http://schemas.openxmlformats.org/officeDocument/2006/relationships/worksheet" Target="/xl/worksheets/sheet6.xml" Id="R31ce2c48b901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8" t="str">
        <x:v>RouteWise Compass - Updated Submission Evidence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9" t="str">
        <x:v>Project Name</x:v>
      </x:c>
      <x:c r="B3" t="str">
        <x:v>RouteWise Compass</x:v>
      </x:c>
    </x:row>
    <x:row r="4">
      <x:c r="A4" s="9" t="str">
        <x:v>Enhancement Focus</x:v>
      </x:c>
      <x:c r="B4" t="str">
        <x:v>Multi-mode travel decision app: drive, fly, train, bus, bike, and mixed travel</x:v>
      </x:c>
    </x:row>
    <x:row r="5">
      <x:c r="A5" s="9" t="str">
        <x:v>Main Update</x:v>
      </x:c>
      <x:c r="B5" t="str">
        <x:v>Added expert travel planning, USA map preview, curated stops/stays/explore pages, screenshots, and updated project management artifacts</x:v>
      </x:c>
    </x:row>
    <x:row r="6">
      <x:c r="A6" s="9" t="str">
        <x:v>Status</x:v>
      </x:c>
      <x:c r="B6" t="str">
        <x:v>Complete</x:v>
      </x:c>
    </x:row>
    <x:row r="7">
      <x:c r="A7" s="9" t="str">
        <x:v>Submission Date</x:v>
      </x:c>
      <x:c r="B7" t="str">
        <x:v>2026-07-12</x:v>
      </x:c>
    </x:row>
    <x:row r="8">
      <x:c r="A8" s="9" t="str">
        <x:v>Package</x:v>
      </x:c>
      <x:c r="B8" t="str">
        <x:v>RouteWise_Compass_Full_Submission_Evidence_Package.zip</x:v>
      </x:c>
    </x:row>
    <x:row r="10">
      <x:c r="A10" s="16" t="str">
        <x:v>Deliverable</x:v>
      </x:c>
      <x:c r="B10" s="17" t="str">
        <x:v>File / Evidence</x:v>
      </x:c>
      <x:c r="C10" s="17" t="str">
        <x:v>Status</x:v>
      </x:c>
      <x:c r="D10" s="17" t="str">
        <x:v>Owner</x:v>
      </x:c>
      <x:c r="E10" s="17" t="str">
        <x:v>Due Date</x:v>
      </x:c>
      <x:c r="F10" s="17" t="str">
        <x:v>Completed Date</x:v>
      </x:c>
      <x:c r="G10" s="17" t="str">
        <x:v>Notes</x:v>
      </x:c>
      <x:c r="H10" s="18" t="str">
        <x:v>Priority</x:v>
      </x:c>
    </x:row>
    <x:row r="11">
      <x:c r="A11" s="19" t="str">
        <x:v>Updated website</x:v>
      </x:c>
      <x:c r="B11" s="20" t="str">
        <x:v>RouteWise_Compass_Expert_Planner.zip</x:v>
      </x:c>
      <x:c r="C11" s="20" t="str">
        <x:v>Complete</x:v>
      </x:c>
      <x:c r="D11" s="20" t="str">
        <x:v>Josh</x:v>
      </x:c>
      <x:c r="E11" s="20" t="str">
        <x:v>2026-07-12</x:v>
      </x:c>
      <x:c r="F11" s="20" t="str">
        <x:v>2026-07-12</x:v>
      </x:c>
      <x:c r="G11" s="20" t="str">
        <x:v>Frontend, optional backend, README, prompts</x:v>
      </x:c>
      <x:c r="H11" s="21" t="str">
        <x:v>High</x:v>
      </x:c>
    </x:row>
    <x:row r="12">
      <x:c r="A12" s="19" t="str">
        <x:v>Screenshots</x:v>
      </x:c>
      <x:c r="B12" s="20" t="str">
        <x:v>RouteWise_Compass_Screenshots folder</x:v>
      </x:c>
      <x:c r="C12" s="20" t="str">
        <x:v>Complete</x:v>
      </x:c>
      <x:c r="D12" s="20" t="str">
        <x:v>Josh</x:v>
      </x:c>
      <x:c r="E12" s="20" t="str">
        <x:v>2026-07-12</x:v>
      </x:c>
      <x:c r="F12" s="20" t="str">
        <x:v>2026-07-12</x:v>
      </x:c>
      <x:c r="G12" s="20" t="str">
        <x:v>8 screenshots for key pages</x:v>
      </x:c>
      <x:c r="H12" s="21" t="str">
        <x:v>High</x:v>
      </x:c>
    </x:row>
    <x:row r="13">
      <x:c r="A13" s="19" t="str">
        <x:v>Updated Gantt Chart</x:v>
      </x:c>
      <x:c r="B13" s="20" t="str">
        <x:v>Updated Gantt sheet</x:v>
      </x:c>
      <x:c r="C13" s="20" t="str">
        <x:v>Complete</x:v>
      </x:c>
      <x:c r="D13" s="20" t="str">
        <x:v>Josh</x:v>
      </x:c>
      <x:c r="E13" s="20" t="str">
        <x:v>2026-07-12</x:v>
      </x:c>
      <x:c r="F13" s="20" t="str">
        <x:v>2026-07-12</x:v>
      </x:c>
      <x:c r="G13" s="20" t="str">
        <x:v>Tasks updated for RouteWise Compass</x:v>
      </x:c>
      <x:c r="H13" s="21" t="str">
        <x:v>High</x:v>
      </x:c>
    </x:row>
    <x:row r="14">
      <x:c r="A14" s="19" t="str">
        <x:v>Critical Path Analysis</x:v>
      </x:c>
      <x:c r="B14" s="20" t="str">
        <x:v>Critical Path Analysis sheet</x:v>
      </x:c>
      <x:c r="C14" s="20" t="str">
        <x:v>Complete</x:v>
      </x:c>
      <x:c r="D14" s="20" t="str">
        <x:v>Josh</x:v>
      </x:c>
      <x:c r="E14" s="20" t="str">
        <x:v>2026-07-12</x:v>
      </x:c>
      <x:c r="F14" s="20" t="str">
        <x:v>2026-07-12</x:v>
      </x:c>
      <x:c r="G14" s="20" t="str">
        <x:v>Critical path A-H marked complete</x:v>
      </x:c>
      <x:c r="H14" s="21" t="str">
        <x:v>High</x:v>
      </x:c>
    </x:row>
    <x:row r="15">
      <x:c r="A15" s="19" t="str">
        <x:v>PERT Chart</x:v>
      </x:c>
      <x:c r="B15" s="20" t="str">
        <x:v>PERT Analysis sheet + PNG</x:v>
      </x:c>
      <x:c r="C15" s="20" t="str">
        <x:v>Complete</x:v>
      </x:c>
      <x:c r="D15" s="20" t="str">
        <x:v>Josh</x:v>
      </x:c>
      <x:c r="E15" s="20" t="str">
        <x:v>2026-07-12</x:v>
      </x:c>
      <x:c r="F15" s="20" t="str">
        <x:v>2026-07-12</x:v>
      </x:c>
      <x:c r="G15" s="20" t="str">
        <x:v>Expected time and variance included</x:v>
      </x:c>
      <x:c r="H15" s="21" t="str">
        <x:v>High</x:v>
      </x:c>
    </x:row>
    <x:row r="16">
      <x:c r="A16" s="19" t="str">
        <x:v>USA Map Evidence</x:v>
      </x:c>
      <x:c r="B16" s="20" t="str">
        <x:v>03_USA_Map_Route.png</x:v>
      </x:c>
      <x:c r="C16" s="20" t="str">
        <x:v>Complete</x:v>
      </x:c>
      <x:c r="D16" s="20" t="str">
        <x:v>Josh</x:v>
      </x:c>
      <x:c r="E16" s="20" t="str">
        <x:v>2026-07-12</x:v>
      </x:c>
      <x:c r="F16" s="20" t="str">
        <x:v>2026-07-12</x:v>
      </x:c>
      <x:c r="G16" s="20" t="str">
        <x:v>Shows route preview visually</x:v>
      </x:c>
      <x:c r="H16" s="21" t="str">
        <x:v>High</x:v>
      </x:c>
    </x:row>
    <x:row r="17">
      <x:c r="A17" s="19" t="str">
        <x:v>Stops/Stays Evidence</x:v>
      </x:c>
      <x:c r="B17" s="20" t="str">
        <x:v>06_Stops_Stays.png</x:v>
      </x:c>
      <x:c r="C17" s="20" t="str">
        <x:v>Complete</x:v>
      </x:c>
      <x:c r="D17" s="20" t="str">
        <x:v>Josh</x:v>
      </x:c>
      <x:c r="E17" s="20" t="str">
        <x:v>2026-07-12</x:v>
      </x:c>
      <x:c r="F17" s="20" t="str">
        <x:v>2026-07-12</x:v>
      </x:c>
      <x:c r="G17" s="20" t="str">
        <x:v>Specific places, where, and why</x:v>
      </x:c>
      <x:c r="H17" s="21" t="str">
        <x:v>High</x:v>
      </x:c>
    </x:row>
    <x:row r="18">
      <x:c r="A18" s="22" t="str">
        <x:v>Explore Evidence</x:v>
      </x:c>
      <x:c r="B18" s="23" t="str">
        <x:v>07_Explore_Nearby.png</x:v>
      </x:c>
      <x:c r="C18" s="23" t="str">
        <x:v>Complete</x:v>
      </x:c>
      <x:c r="D18" s="23" t="str">
        <x:v>Josh</x:v>
      </x:c>
      <x:c r="E18" s="23" t="str">
        <x:v>2026-07-12</x:v>
      </x:c>
      <x:c r="F18" s="23" t="str">
        <x:v>2026-07-12</x:v>
      </x:c>
      <x:c r="G18" s="23" t="str">
        <x:v>Route/destination logic; fly mode destination-only</x:v>
      </x:c>
      <x:c r="H18" s="24" t="str">
        <x:v>High</x:v>
      </x:c>
    </x:row>
  </x:sheetData>
  <x:mergeCells>
    <x:mergeCell ref="A1:H1"/>
  </x:mergeCells>
  <x:conditionalFormatting sqref="C11:C18">
    <x:cfRule type="expression" dxfId="0" priority="1">
      <x:formula>C11="Complete"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5" max="15" width="3.25" hidden="0" customWidth="1"/>
    <x:col min="16" max="16" width="3.25" hidden="0" customWidth="1"/>
    <x:col min="17" max="17" width="4.130000114440918" hidden="0" customWidth="1"/>
    <x:col min="18" max="18" width="4.130000114440918" hidden="0" customWidth="1"/>
    <x:col min="19" max="19" width="4.130000114440918" hidden="0" customWidth="1"/>
    <x:col min="20" max="20" width="7.75" hidden="0" customWidth="1"/>
  </x:cols>
  <x:sheetData>
    <x:row r="1" ht="30" customHeight="1">
      <x:c r="A1" s="68" t="str">
        <x:v>RouteWise Compass Updated Gantt Chart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38" t="str">
        <x:v>ID</x:v>
      </x:c>
      <x:c r="B3" s="39" t="str">
        <x:v>Task</x:v>
      </x:c>
      <x:c r="C3" s="39" t="str">
        <x:v>Start</x:v>
      </x:c>
      <x:c r="D3" s="39" t="str">
        <x:v>End</x:v>
      </x:c>
      <x:c r="E3" s="39" t="str">
        <x:v>Duration</x:v>
      </x:c>
      <x:c r="F3" s="39" t="str">
        <x:v>Dependency</x:v>
      </x:c>
      <x:c r="G3" s="39" t="str">
        <x:v>Owner</x:v>
      </x:c>
      <x:c r="H3" s="39" t="str">
        <x:v>Status</x:v>
      </x:c>
      <x:c r="I3" s="39" t="str">
        <x:v>% Complete</x:v>
      </x:c>
      <x:c r="J3" s="39" t="str">
        <x:v>Critical?</x:v>
      </x:c>
      <x:c r="K3" s="39" t="str">
        <x:v>Deliverable Area</x:v>
      </x:c>
      <x:c r="L3" s="39" t="str">
        <x:v>Output Evidence</x:v>
      </x:c>
      <x:c r="M3" s="40" t="str">
        <x:v>Notes</x:v>
      </x:c>
      <x:c r="O3" s="12" t="str">
        <x:v>7/8</x:v>
      </x:c>
      <x:c r="P3" s="12" t="str">
        <x:v>7/9</x:v>
      </x:c>
      <x:c r="Q3" s="12" t="str">
        <x:v>7/10</x:v>
      </x:c>
      <x:c r="R3" s="12" t="str">
        <x:v>7/11</x:v>
      </x:c>
      <x:c r="S3" s="12" t="str">
        <x:v>7/12</x:v>
      </x:c>
      <x:c r="T3" s="12" t="str">
        <x:v>Status</x:v>
      </x:c>
    </x:row>
    <x:row r="4">
      <x:c r="A4" s="19" t="str">
        <x:v>A</x:v>
      </x:c>
      <x:c r="B4" s="20" t="str">
        <x:v>Confirm enhanced RouteWise Compass scope</x:v>
      </x:c>
      <x:c r="C4" s="41" t="str">
        <x:v>2026-07-08</x:v>
      </x:c>
      <x:c r="D4" s="41" t="str">
        <x:v>2026-07-08</x:v>
      </x:c>
      <x:c r="E4" s="20" t="n">
        <x:v>1</x:v>
      </x:c>
      <x:c r="F4" s="20" t="str">
        <x:v>None</x:v>
      </x:c>
      <x:c r="G4" s="20" t="str">
        <x:v>Josh</x:v>
      </x:c>
      <x:c r="H4" s="20" t="str">
        <x:v>Complete</x:v>
      </x:c>
      <x:c r="I4" s="42" t="n">
        <x:v>1</x:v>
      </x:c>
      <x:c r="J4" s="20" t="str">
        <x:v>Yes</x:v>
      </x:c>
      <x:c r="K4" s="20" t="str">
        <x:v>Planning</x:v>
      </x:c>
      <x:c r="L4" s="20" t="str">
        <x:v>Requirements updated</x:v>
      </x:c>
      <x:c r="M4" s="21" t="str">
        <x:v>Moved beyond drive/fly</x:v>
      </x:c>
      <x:c r="O4" s="53" t="str">
        <x:v>■</x:v>
      </x:c>
      <x:c r="P4" s="53" t="str"/>
      <x:c r="Q4" s="53" t="str"/>
      <x:c r="R4" s="53" t="str"/>
      <x:c r="S4" s="53" t="str"/>
      <x:c r="T4" t="str">
        <x:v>Complete</x:v>
      </x:c>
    </x:row>
    <x:row r="5">
      <x:c r="A5" s="19" t="str">
        <x:v>B</x:v>
      </x:c>
      <x:c r="B5" s="20" t="str">
        <x:v>Redesign frontend layout, colors, and UX</x:v>
      </x:c>
      <x:c r="C5" s="41" t="str">
        <x:v>2026-07-08</x:v>
      </x:c>
      <x:c r="D5" s="41" t="str">
        <x:v>2026-07-09</x:v>
      </x:c>
      <x:c r="E5" s="20" t="n">
        <x:v>2</x:v>
      </x:c>
      <x:c r="F5" s="20" t="str">
        <x:v>A</x:v>
      </x:c>
      <x:c r="G5" s="20" t="str">
        <x:v>Josh</x:v>
      </x:c>
      <x:c r="H5" s="20" t="str">
        <x:v>Complete</x:v>
      </x:c>
      <x:c r="I5" s="42" t="n">
        <x:v>1</x:v>
      </x:c>
      <x:c r="J5" s="20" t="str">
        <x:v>Yes</x:v>
      </x:c>
      <x:c r="K5" s="20" t="str">
        <x:v>Frontend</x:v>
      </x:c>
      <x:c r="L5" s="20" t="str">
        <x:v>index.html, styles.css</x:v>
      </x:c>
      <x:c r="M5" s="21" t="str">
        <x:v>Less bland, more usable</x:v>
      </x:c>
      <x:c r="O5" s="53" t="str">
        <x:v>■</x:v>
      </x:c>
      <x:c r="P5" s="53" t="str">
        <x:v>■</x:v>
      </x:c>
      <x:c r="Q5" s="53" t="str"/>
      <x:c r="R5" s="53" t="str"/>
      <x:c r="S5" s="53" t="str"/>
      <x:c r="T5" t="str">
        <x:v>Complete</x:v>
      </x:c>
    </x:row>
    <x:row r="6">
      <x:c r="A6" s="19" t="str">
        <x:v>C</x:v>
      </x:c>
      <x:c r="B6" s="20" t="str">
        <x:v>Build multi-mode decision engine</x:v>
      </x:c>
      <x:c r="C6" s="41" t="str">
        <x:v>2026-07-09</x:v>
      </x:c>
      <x:c r="D6" s="41" t="str">
        <x:v>2026-07-10</x:v>
      </x:c>
      <x:c r="E6" s="20" t="n">
        <x:v>2</x:v>
      </x:c>
      <x:c r="F6" s="20" t="str">
        <x:v>B</x:v>
      </x:c>
      <x:c r="G6" s="20" t="str">
        <x:v>Josh</x:v>
      </x:c>
      <x:c r="H6" s="20" t="str">
        <x:v>Complete</x:v>
      </x:c>
      <x:c r="I6" s="42" t="n">
        <x:v>1</x:v>
      </x:c>
      <x:c r="J6" s="20" t="str">
        <x:v>Yes</x:v>
      </x:c>
      <x:c r="K6" s="20" t="str">
        <x:v>Logic</x:v>
      </x:c>
      <x:c r="L6" s="20" t="str">
        <x:v>app.js</x:v>
      </x:c>
      <x:c r="M6" s="21" t="str">
        <x:v>Drive/fly/train/bus/bike/mixed scoring</x:v>
      </x:c>
      <x:c r="O6" s="53" t="str"/>
      <x:c r="P6" s="53" t="str">
        <x:v>■</x:v>
      </x:c>
      <x:c r="Q6" s="53" t="str">
        <x:v>■</x:v>
      </x:c>
      <x:c r="R6" s="53" t="str"/>
      <x:c r="S6" s="53" t="str"/>
      <x:c r="T6" t="str">
        <x:v>Complete</x:v>
      </x:c>
    </x:row>
    <x:row r="7">
      <x:c r="A7" s="19" t="str">
        <x:v>D</x:v>
      </x:c>
      <x:c r="B7" s="20" t="str">
        <x:v>Add curated stops, stays, and explore data</x:v>
      </x:c>
      <x:c r="C7" s="41" t="str">
        <x:v>2026-07-10</x:v>
      </x:c>
      <x:c r="D7" s="41" t="str">
        <x:v>2026-07-11</x:v>
      </x:c>
      <x:c r="E7" s="20" t="n">
        <x:v>2</x:v>
      </x:c>
      <x:c r="F7" s="20" t="str">
        <x:v>C</x:v>
      </x:c>
      <x:c r="G7" s="20" t="str">
        <x:v>Josh</x:v>
      </x:c>
      <x:c r="H7" s="20" t="str">
        <x:v>Complete</x:v>
      </x:c>
      <x:c r="I7" s="42" t="n">
        <x:v>1</x:v>
      </x:c>
      <x:c r="J7" s="20" t="str">
        <x:v>Yes</x:v>
      </x:c>
      <x:c r="K7" s="20" t="str">
        <x:v>Content</x:v>
      </x:c>
      <x:c r="L7" s="20" t="str">
        <x:v>routeData.js</x:v>
      </x:c>
      <x:c r="M7" s="21" t="str">
        <x:v>Specific places, where, why</x:v>
      </x:c>
      <x:c r="O7" s="53" t="str"/>
      <x:c r="P7" s="53" t="str"/>
      <x:c r="Q7" s="53" t="str">
        <x:v>■</x:v>
      </x:c>
      <x:c r="R7" s="53" t="str">
        <x:v>■</x:v>
      </x:c>
      <x:c r="S7" s="53" t="str"/>
      <x:c r="T7" t="str">
        <x:v>Complete</x:v>
      </x:c>
    </x:row>
    <x:row r="8">
      <x:c r="A8" s="19" t="str">
        <x:v>E</x:v>
      </x:c>
      <x:c r="B8" s="20" t="str">
        <x:v>Replace weak map with USA route preview</x:v>
      </x:c>
      <x:c r="C8" s="41" t="str">
        <x:v>2026-07-11</x:v>
      </x:c>
      <x:c r="D8" s="41" t="str">
        <x:v>2026-07-11</x:v>
      </x:c>
      <x:c r="E8" s="20" t="n">
        <x:v>1</x:v>
      </x:c>
      <x:c r="F8" s="20" t="str">
        <x:v>D</x:v>
      </x:c>
      <x:c r="G8" s="20" t="str">
        <x:v>Josh</x:v>
      </x:c>
      <x:c r="H8" s="20" t="str">
        <x:v>Complete</x:v>
      </x:c>
      <x:c r="I8" s="42" t="n">
        <x:v>1</x:v>
      </x:c>
      <x:c r="J8" s="20" t="str">
        <x:v>Yes</x:v>
      </x:c>
      <x:c r="K8" s="20" t="str">
        <x:v>Map</x:v>
      </x:c>
      <x:c r="L8" s="20" t="str">
        <x:v>USA Map page</x:v>
      </x:c>
      <x:c r="M8" s="21" t="str">
        <x:v>Visual start/destination/route/stops</x:v>
      </x:c>
      <x:c r="O8" s="53" t="str"/>
      <x:c r="P8" s="53" t="str"/>
      <x:c r="Q8" s="53" t="str"/>
      <x:c r="R8" s="53" t="str">
        <x:v>■</x:v>
      </x:c>
      <x:c r="S8" s="53" t="str"/>
      <x:c r="T8" t="str">
        <x:v>Complete</x:v>
      </x:c>
    </x:row>
    <x:row r="9">
      <x:c r="A9" s="19" t="str">
        <x:v>F</x:v>
      </x:c>
      <x:c r="B9" s="20" t="str">
        <x:v>Test pages and create screenshots</x:v>
      </x:c>
      <x:c r="C9" s="41" t="str">
        <x:v>2026-07-12</x:v>
      </x:c>
      <x:c r="D9" s="41" t="str">
        <x:v>2026-07-12</x:v>
      </x:c>
      <x:c r="E9" s="20" t="n">
        <x:v>1</x:v>
      </x:c>
      <x:c r="F9" s="20" t="str">
        <x:v>E</x:v>
      </x:c>
      <x:c r="G9" s="20" t="str">
        <x:v>Josh</x:v>
      </x:c>
      <x:c r="H9" s="20" t="str">
        <x:v>Complete</x:v>
      </x:c>
      <x:c r="I9" s="42" t="n">
        <x:v>1</x:v>
      </x:c>
      <x:c r="J9" s="20" t="str">
        <x:v>Yes</x:v>
      </x:c>
      <x:c r="K9" s="20" t="str">
        <x:v>Evidence</x:v>
      </x:c>
      <x:c r="L9" s="20" t="str">
        <x:v>8 screenshot PNGs</x:v>
      </x:c>
      <x:c r="M9" s="21" t="str">
        <x:v>Screenshots for Canvas</x:v>
      </x:c>
      <x:c r="O9" s="53" t="str"/>
      <x:c r="P9" s="53" t="str"/>
      <x:c r="Q9" s="53" t="str"/>
      <x:c r="R9" s="53" t="str"/>
      <x:c r="S9" s="53" t="str">
        <x:v>■</x:v>
      </x:c>
      <x:c r="T9" t="str">
        <x:v>Complete</x:v>
      </x:c>
    </x:row>
    <x:row r="10">
      <x:c r="A10" s="19" t="str">
        <x:v>G</x:v>
      </x:c>
      <x:c r="B10" s="20" t="str">
        <x:v>Update Gantt, Critical Path, and PERT</x:v>
      </x:c>
      <x:c r="C10" s="41" t="str">
        <x:v>2026-07-12</x:v>
      </x:c>
      <x:c r="D10" s="41" t="str">
        <x:v>2026-07-12</x:v>
      </x:c>
      <x:c r="E10" s="20" t="n">
        <x:v>1</x:v>
      </x:c>
      <x:c r="F10" s="20" t="str">
        <x:v>F</x:v>
      </x:c>
      <x:c r="G10" s="20" t="str">
        <x:v>Josh</x:v>
      </x:c>
      <x:c r="H10" s="20" t="str">
        <x:v>Complete</x:v>
      </x:c>
      <x:c r="I10" s="42" t="n">
        <x:v>1</x:v>
      </x:c>
      <x:c r="J10" s="20" t="str">
        <x:v>Yes</x:v>
      </x:c>
      <x:c r="K10" s="20" t="str">
        <x:v>Project Management</x:v>
      </x:c>
      <x:c r="L10" s="20" t="str">
        <x:v>This workbook</x:v>
      </x:c>
      <x:c r="M10" s="21" t="str">
        <x:v>Required artifact</x:v>
      </x:c>
      <x:c r="O10" s="53" t="str"/>
      <x:c r="P10" s="53" t="str"/>
      <x:c r="Q10" s="53" t="str"/>
      <x:c r="R10" s="53" t="str"/>
      <x:c r="S10" s="53" t="str">
        <x:v>■</x:v>
      </x:c>
      <x:c r="T10" t="str">
        <x:v>Complete</x:v>
      </x:c>
    </x:row>
    <x:row r="11">
      <x:c r="A11" s="22" t="str">
        <x:v>H</x:v>
      </x:c>
      <x:c r="B11" s="23" t="str">
        <x:v>Package final files for submission</x:v>
      </x:c>
      <x:c r="C11" s="43" t="str">
        <x:v>2026-07-12</x:v>
      </x:c>
      <x:c r="D11" s="43" t="str">
        <x:v>2026-07-12</x:v>
      </x:c>
      <x:c r="E11" s="23" t="n">
        <x:v>1</x:v>
      </x:c>
      <x:c r="F11" s="23" t="str">
        <x:v>G</x:v>
      </x:c>
      <x:c r="G11" s="23" t="str">
        <x:v>Josh</x:v>
      </x:c>
      <x:c r="H11" s="23" t="str">
        <x:v>Complete</x:v>
      </x:c>
      <x:c r="I11" s="44" t="n">
        <x:v>1</x:v>
      </x:c>
      <x:c r="J11" s="23" t="str">
        <x:v>Yes</x:v>
      </x:c>
      <x:c r="K11" s="23" t="str">
        <x:v>Submission</x:v>
      </x:c>
      <x:c r="L11" s="23" t="str">
        <x:v>Evidence package ZIP</x:v>
      </x:c>
      <x:c r="M11" s="24" t="str">
        <x:v>Website + evidence</x:v>
      </x:c>
      <x:c r="O11" s="53" t="str"/>
      <x:c r="P11" s="53" t="str"/>
      <x:c r="Q11" s="53" t="str"/>
      <x:c r="R11" s="53" t="str"/>
      <x:c r="S11" s="53" t="str">
        <x:v>■</x:v>
      </x:c>
      <x:c r="T11" t="str">
        <x:v>Complete</x:v>
      </x:c>
    </x:row>
  </x:sheetData>
  <x:mergeCells>
    <x:mergeCell ref="A1:M1"/>
  </x:mergeCells>
  <x:conditionalFormatting sqref="H4:H11">
    <x:cfRule type="expression" dxfId="1" priority="1">
      <x:formula>H4="Complete"</x:formula>
    </x:cfRule>
  </x:conditionalFormatting>
  <x:conditionalFormatting sqref="J4:J11">
    <x:cfRule type="expression" dxfId="2" priority="2">
      <x:formula>J4="Yes"</x:formula>
    </x:cfRule>
  </x:conditionalFormatting>
  <x:conditionalFormatting sqref="T4:T11">
    <x:cfRule type="expression" dxfId="3" priority="3">
      <x:formula>T4="Complete"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8" t="str">
        <x:v>RouteWise Compass Critical Path Analysis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38" t="str">
        <x:v>Activity</x:v>
      </x:c>
      <x:c r="B3" s="39" t="str">
        <x:v>Task</x:v>
      </x:c>
      <x:c r="C3" s="39" t="str">
        <x:v>Duration</x:v>
      </x:c>
      <x:c r="D3" s="39" t="str">
        <x:v>Predecessor</x:v>
      </x:c>
      <x:c r="E3" s="39" t="str">
        <x:v>Early Start</x:v>
      </x:c>
      <x:c r="F3" s="39" t="str">
        <x:v>Early Finish</x:v>
      </x:c>
      <x:c r="G3" s="39" t="str">
        <x:v>Late Start</x:v>
      </x:c>
      <x:c r="H3" s="39" t="str">
        <x:v>Late Finish</x:v>
      </x:c>
      <x:c r="I3" s="39" t="str">
        <x:v>Slack</x:v>
      </x:c>
      <x:c r="J3" s="40" t="str">
        <x:v>Critical?</x:v>
      </x:c>
    </x:row>
    <x:row r="4">
      <x:c r="A4" s="19" t="str">
        <x:v>A</x:v>
      </x:c>
      <x:c r="B4" s="20" t="str">
        <x:v>Confirm enhanced scope</x:v>
      </x:c>
      <x:c r="C4" s="20" t="n">
        <x:v>1</x:v>
      </x:c>
      <x:c r="D4" s="20" t="str">
        <x:v>None</x:v>
      </x:c>
      <x:c r="E4" s="20" t="n">
        <x:v>0</x:v>
      </x:c>
      <x:c r="F4" s="20" t="n">
        <x:v>1</x:v>
      </x:c>
      <x:c r="G4" s="20" t="n">
        <x:v>0</x:v>
      </x:c>
      <x:c r="H4" s="20" t="n">
        <x:v>1</x:v>
      </x:c>
      <x:c r="I4" s="20" t="n">
        <x:v>0</x:v>
      </x:c>
      <x:c r="J4" s="21" t="str">
        <x:v>Yes</x:v>
      </x:c>
    </x:row>
    <x:row r="5">
      <x:c r="A5" s="19" t="str">
        <x:v>B</x:v>
      </x:c>
      <x:c r="B5" s="20" t="str">
        <x:v>Redesign frontend</x:v>
      </x:c>
      <x:c r="C5" s="20" t="n">
        <x:v>2</x:v>
      </x:c>
      <x:c r="D5" s="20" t="str">
        <x:v>A</x:v>
      </x:c>
      <x:c r="E5" s="20" t="n">
        <x:v>1</x:v>
      </x:c>
      <x:c r="F5" s="20" t="n">
        <x:v>3</x:v>
      </x:c>
      <x:c r="G5" s="20" t="n">
        <x:v>1</x:v>
      </x:c>
      <x:c r="H5" s="20" t="n">
        <x:v>3</x:v>
      </x:c>
      <x:c r="I5" s="20" t="n">
        <x:v>0</x:v>
      </x:c>
      <x:c r="J5" s="21" t="str">
        <x:v>Yes</x:v>
      </x:c>
    </x:row>
    <x:row r="6">
      <x:c r="A6" s="19" t="str">
        <x:v>C</x:v>
      </x:c>
      <x:c r="B6" s="20" t="str">
        <x:v>Build decision engine</x:v>
      </x:c>
      <x:c r="C6" s="20" t="n">
        <x:v>2</x:v>
      </x:c>
      <x:c r="D6" s="20" t="str">
        <x:v>B</x:v>
      </x:c>
      <x:c r="E6" s="20" t="n">
        <x:v>3</x:v>
      </x:c>
      <x:c r="F6" s="20" t="n">
        <x:v>5</x:v>
      </x:c>
      <x:c r="G6" s="20" t="n">
        <x:v>3</x:v>
      </x:c>
      <x:c r="H6" s="20" t="n">
        <x:v>5</x:v>
      </x:c>
      <x:c r="I6" s="20" t="n">
        <x:v>0</x:v>
      </x:c>
      <x:c r="J6" s="21" t="str">
        <x:v>Yes</x:v>
      </x:c>
    </x:row>
    <x:row r="7">
      <x:c r="A7" s="19" t="str">
        <x:v>D</x:v>
      </x:c>
      <x:c r="B7" s="20" t="str">
        <x:v>Curated content/data</x:v>
      </x:c>
      <x:c r="C7" s="20" t="n">
        <x:v>2</x:v>
      </x:c>
      <x:c r="D7" s="20" t="str">
        <x:v>C</x:v>
      </x:c>
      <x:c r="E7" s="20" t="n">
        <x:v>5</x:v>
      </x:c>
      <x:c r="F7" s="20" t="n">
        <x:v>7</x:v>
      </x:c>
      <x:c r="G7" s="20" t="n">
        <x:v>5</x:v>
      </x:c>
      <x:c r="H7" s="20" t="n">
        <x:v>7</x:v>
      </x:c>
      <x:c r="I7" s="20" t="n">
        <x:v>0</x:v>
      </x:c>
      <x:c r="J7" s="21" t="str">
        <x:v>Yes</x:v>
      </x:c>
    </x:row>
    <x:row r="8">
      <x:c r="A8" s="19" t="str">
        <x:v>E</x:v>
      </x:c>
      <x:c r="B8" s="20" t="str">
        <x:v>USA map preview</x:v>
      </x:c>
      <x:c r="C8" s="20" t="n">
        <x:v>1</x:v>
      </x:c>
      <x:c r="D8" s="20" t="str">
        <x:v>D</x:v>
      </x:c>
      <x:c r="E8" s="20" t="n">
        <x:v>7</x:v>
      </x:c>
      <x:c r="F8" s="20" t="n">
        <x:v>8</x:v>
      </x:c>
      <x:c r="G8" s="20" t="n">
        <x:v>7</x:v>
      </x:c>
      <x:c r="H8" s="20" t="n">
        <x:v>8</x:v>
      </x:c>
      <x:c r="I8" s="20" t="n">
        <x:v>0</x:v>
      </x:c>
      <x:c r="J8" s="21" t="str">
        <x:v>Yes</x:v>
      </x:c>
    </x:row>
    <x:row r="9">
      <x:c r="A9" s="19" t="str">
        <x:v>F</x:v>
      </x:c>
      <x:c r="B9" s="20" t="str">
        <x:v>Screenshots/testing</x:v>
      </x:c>
      <x:c r="C9" s="20" t="n">
        <x:v>1</x:v>
      </x:c>
      <x:c r="D9" s="20" t="str">
        <x:v>E</x:v>
      </x:c>
      <x:c r="E9" s="20" t="n">
        <x:v>8</x:v>
      </x:c>
      <x:c r="F9" s="20" t="n">
        <x:v>9</x:v>
      </x:c>
      <x:c r="G9" s="20" t="n">
        <x:v>8</x:v>
      </x:c>
      <x:c r="H9" s="20" t="n">
        <x:v>9</x:v>
      </x:c>
      <x:c r="I9" s="20" t="n">
        <x:v>0</x:v>
      </x:c>
      <x:c r="J9" s="21" t="str">
        <x:v>Yes</x:v>
      </x:c>
    </x:row>
    <x:row r="10">
      <x:c r="A10" s="19" t="str">
        <x:v>G</x:v>
      </x:c>
      <x:c r="B10" s="20" t="str">
        <x:v>Gantt/CPA/PERT</x:v>
      </x:c>
      <x:c r="C10" s="20" t="n">
        <x:v>1</x:v>
      </x:c>
      <x:c r="D10" s="20" t="str">
        <x:v>F</x:v>
      </x:c>
      <x:c r="E10" s="20" t="n">
        <x:v>9</x:v>
      </x:c>
      <x:c r="F10" s="20" t="n">
        <x:v>10</x:v>
      </x:c>
      <x:c r="G10" s="20" t="n">
        <x:v>9</x:v>
      </x:c>
      <x:c r="H10" s="20" t="n">
        <x:v>10</x:v>
      </x:c>
      <x:c r="I10" s="20" t="n">
        <x:v>0</x:v>
      </x:c>
      <x:c r="J10" s="21" t="str">
        <x:v>Yes</x:v>
      </x:c>
    </x:row>
    <x:row r="11">
      <x:c r="A11" s="19" t="str">
        <x:v>H</x:v>
      </x:c>
      <x:c r="B11" s="20" t="str">
        <x:v>Final package</x:v>
      </x:c>
      <x:c r="C11" s="20" t="n">
        <x:v>1</x:v>
      </x:c>
      <x:c r="D11" s="20" t="str">
        <x:v>G</x:v>
      </x:c>
      <x:c r="E11" s="20" t="n">
        <x:v>10</x:v>
      </x:c>
      <x:c r="F11" s="20" t="n">
        <x:v>11</x:v>
      </x:c>
      <x:c r="G11" s="20" t="n">
        <x:v>10</x:v>
      </x:c>
      <x:c r="H11" s="20" t="n">
        <x:v>11</x:v>
      </x:c>
      <x:c r="I11" s="20" t="n">
        <x:v>0</x:v>
      </x:c>
      <x:c r="J11" s="21" t="str">
        <x:v>Yes</x:v>
      </x:c>
    </x:row>
    <x:row r="12">
      <x:c r="A12" s="19"/>
      <x:c r="B12" s="20"/>
      <x:c r="C12" s="20"/>
      <x:c r="D12" s="20"/>
      <x:c r="E12" s="20"/>
      <x:c r="F12" s="20"/>
      <x:c r="G12" s="20"/>
      <x:c r="H12" s="20"/>
      <x:c r="I12" s="20"/>
      <x:c r="J12" s="21"/>
    </x:row>
    <x:row r="13">
      <x:c r="A13" s="56" t="str">
        <x:v>Critical Path</x:v>
      </x:c>
      <x:c r="B13" s="20" t="str">
        <x:v>A → B → C → D → E → F → G → H</x:v>
      </x:c>
      <x:c r="C13" s="20" t="str"/>
      <x:c r="D13" s="20" t="str"/>
      <x:c r="E13" s="20" t="str"/>
      <x:c r="F13" s="20" t="str"/>
      <x:c r="G13" s="20" t="str"/>
      <x:c r="H13" s="20" t="str"/>
      <x:c r="I13" s="20" t="str"/>
      <x:c r="J13" s="21" t="str"/>
    </x:row>
    <x:row r="14">
      <x:c r="A14" s="56" t="str">
        <x:v>Total Project Duration</x:v>
      </x:c>
      <x:c r="B14" s="20" t="str">
        <x:v>11 task-days</x:v>
      </x:c>
      <x:c r="C14" s="20" t="str"/>
      <x:c r="D14" s="20" t="str"/>
      <x:c r="E14" s="20" t="str"/>
      <x:c r="F14" s="20" t="str"/>
      <x:c r="G14" s="20" t="str"/>
      <x:c r="H14" s="20" t="str"/>
      <x:c r="I14" s="20" t="str"/>
      <x:c r="J14" s="21" t="str"/>
    </x:row>
    <x:row r="15">
      <x:c r="A15" s="56" t="str">
        <x:v>Slack</x:v>
      </x:c>
      <x:c r="B15" s="20" t="str">
        <x:v>0 for all required submission tasks</x:v>
      </x:c>
      <x:c r="C15" s="20" t="str"/>
      <x:c r="D15" s="20" t="str"/>
      <x:c r="E15" s="20" t="str"/>
      <x:c r="F15" s="20" t="str"/>
      <x:c r="G15" s="20" t="str"/>
      <x:c r="H15" s="20" t="str"/>
      <x:c r="I15" s="20" t="str"/>
      <x:c r="J15" s="21" t="str"/>
    </x:row>
    <x:row r="16">
      <x:c r="A16" s="57" t="str">
        <x:v>Conclusion</x:v>
      </x:c>
      <x:c r="B16" s="23" t="str">
        <x:v>The project is complete and evidence is ready for Canvas submission.</x:v>
      </x:c>
      <x:c r="C16" s="23" t="str"/>
      <x:c r="D16" s="23" t="str"/>
      <x:c r="E16" s="23" t="str"/>
      <x:c r="F16" s="23" t="str"/>
      <x:c r="G16" s="23" t="str"/>
      <x:c r="H16" s="23" t="str"/>
      <x:c r="I16" s="23" t="str"/>
      <x:c r="J16" s="24" t="str"/>
    </x:row>
  </x:sheetData>
  <x:mergeCells>
    <x:mergeCell ref="A1:J1"/>
    <x:mergeCell ref="B13:J16"/>
  </x:mergeCells>
  <x:conditionalFormatting sqref="J4:J11">
    <x:cfRule type="expression" dxfId="4" priority="1">
      <x:formula>J4="Yes"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8" t="str">
        <x:v>RouteWise Compass PERT Analysis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38" t="str">
        <x:v>Activity</x:v>
      </x:c>
      <x:c r="B3" s="39" t="str">
        <x:v>Task</x:v>
      </x:c>
      <x:c r="C3" s="39" t="str">
        <x:v>Optimistic</x:v>
      </x:c>
      <x:c r="D3" s="39" t="str">
        <x:v>Most Likely</x:v>
      </x:c>
      <x:c r="E3" s="39" t="str">
        <x:v>Pessimistic</x:v>
      </x:c>
      <x:c r="F3" s="39" t="str">
        <x:v>Expected Time</x:v>
      </x:c>
      <x:c r="G3" s="39" t="str">
        <x:v>Variance</x:v>
      </x:c>
      <x:c r="H3" s="39" t="str">
        <x:v>Predecessor</x:v>
      </x:c>
      <x:c r="I3" s="39" t="str">
        <x:v>Status</x:v>
      </x:c>
      <x:c r="J3" s="40" t="str">
        <x:v>Critical?</x:v>
      </x:c>
    </x:row>
    <x:row r="4">
      <x:c r="A4" s="19" t="str">
        <x:v>A</x:v>
      </x:c>
      <x:c r="B4" s="20" t="str">
        <x:v>Confirm enhanced scope</x:v>
      </x:c>
      <x:c r="C4" s="20" t="n">
        <x:v>1</x:v>
      </x:c>
      <x:c r="D4" s="20" t="n">
        <x:v>1</x:v>
      </x:c>
      <x:c r="E4" s="20" t="n">
        <x:v>2</x:v>
      </x:c>
      <x:c r="F4" s="62" t="n">
        <x:f>(C4+4*D4+E4)/6</x:f>
        <x:v>1.1666666666666667</x:v>
      </x:c>
      <x:c r="G4" s="62" t="n">
        <x:f>((E4-C4)/6)^2</x:f>
        <x:v>0.027777777777777776</x:v>
      </x:c>
      <x:c r="H4" s="20" t="str">
        <x:v>None</x:v>
      </x:c>
      <x:c r="I4" s="20" t="str">
        <x:v>Complete</x:v>
      </x:c>
      <x:c r="J4" s="21" t="str">
        <x:v>Yes</x:v>
      </x:c>
    </x:row>
    <x:row r="5">
      <x:c r="A5" s="19" t="str">
        <x:v>B</x:v>
      </x:c>
      <x:c r="B5" s="20" t="str">
        <x:v>Redesign frontend</x:v>
      </x:c>
      <x:c r="C5" s="20" t="n">
        <x:v>1</x:v>
      </x:c>
      <x:c r="D5" s="20" t="n">
        <x:v>2</x:v>
      </x:c>
      <x:c r="E5" s="20" t="n">
        <x:v>3</x:v>
      </x:c>
      <x:c r="F5" s="62" t="n">
        <x:f>(C5+4*D5+E5)/6</x:f>
        <x:v>2</x:v>
      </x:c>
      <x:c r="G5" s="62" t="n">
        <x:f>((E5-C5)/6)^2</x:f>
        <x:v>0.1111111111111111</x:v>
      </x:c>
      <x:c r="H5" s="20" t="str">
        <x:v>A</x:v>
      </x:c>
      <x:c r="I5" s="20" t="str">
        <x:v>Complete</x:v>
      </x:c>
      <x:c r="J5" s="21" t="str">
        <x:v>Yes</x:v>
      </x:c>
    </x:row>
    <x:row r="6">
      <x:c r="A6" s="19" t="str">
        <x:v>C</x:v>
      </x:c>
      <x:c r="B6" s="20" t="str">
        <x:v>Build decision engine</x:v>
      </x:c>
      <x:c r="C6" s="20" t="n">
        <x:v>1</x:v>
      </x:c>
      <x:c r="D6" s="20" t="n">
        <x:v>2</x:v>
      </x:c>
      <x:c r="E6" s="20" t="n">
        <x:v>3</x:v>
      </x:c>
      <x:c r="F6" s="62" t="n">
        <x:f>(C6+4*D6+E6)/6</x:f>
        <x:v>2</x:v>
      </x:c>
      <x:c r="G6" s="62" t="n">
        <x:f>((E6-C6)/6)^2</x:f>
        <x:v>0.1111111111111111</x:v>
      </x:c>
      <x:c r="H6" s="20" t="str">
        <x:v>B</x:v>
      </x:c>
      <x:c r="I6" s="20" t="str">
        <x:v>Complete</x:v>
      </x:c>
      <x:c r="J6" s="21" t="str">
        <x:v>Yes</x:v>
      </x:c>
    </x:row>
    <x:row r="7">
      <x:c r="A7" s="19" t="str">
        <x:v>D</x:v>
      </x:c>
      <x:c r="B7" s="20" t="str">
        <x:v>Curated stops/stays/explore data</x:v>
      </x:c>
      <x:c r="C7" s="20" t="n">
        <x:v>1</x:v>
      </x:c>
      <x:c r="D7" s="20" t="n">
        <x:v>2</x:v>
      </x:c>
      <x:c r="E7" s="20" t="n">
        <x:v>4</x:v>
      </x:c>
      <x:c r="F7" s="62" t="n">
        <x:f>(C7+4*D7+E7)/6</x:f>
        <x:v>2.1666666666666665</x:v>
      </x:c>
      <x:c r="G7" s="62" t="n">
        <x:f>((E7-C7)/6)^2</x:f>
        <x:v>0.25</x:v>
      </x:c>
      <x:c r="H7" s="20" t="str">
        <x:v>C</x:v>
      </x:c>
      <x:c r="I7" s="20" t="str">
        <x:v>Complete</x:v>
      </x:c>
      <x:c r="J7" s="21" t="str">
        <x:v>Yes</x:v>
      </x:c>
    </x:row>
    <x:row r="8">
      <x:c r="A8" s="19" t="str">
        <x:v>E</x:v>
      </x:c>
      <x:c r="B8" s="20" t="str">
        <x:v>USA map preview</x:v>
      </x:c>
      <x:c r="C8" s="20" t="n">
        <x:v>1</x:v>
      </x:c>
      <x:c r="D8" s="20" t="n">
        <x:v>1</x:v>
      </x:c>
      <x:c r="E8" s="20" t="n">
        <x:v>2</x:v>
      </x:c>
      <x:c r="F8" s="62" t="n">
        <x:f>(C8+4*D8+E8)/6</x:f>
        <x:v>1.1666666666666667</x:v>
      </x:c>
      <x:c r="G8" s="62" t="n">
        <x:f>((E8-C8)/6)^2</x:f>
        <x:v>0.027777777777777776</x:v>
      </x:c>
      <x:c r="H8" s="20" t="str">
        <x:v>D</x:v>
      </x:c>
      <x:c r="I8" s="20" t="str">
        <x:v>Complete</x:v>
      </x:c>
      <x:c r="J8" s="21" t="str">
        <x:v>Yes</x:v>
      </x:c>
    </x:row>
    <x:row r="9">
      <x:c r="A9" s="19" t="str">
        <x:v>F</x:v>
      </x:c>
      <x:c r="B9" s="20" t="str">
        <x:v>Screenshots/testing</x:v>
      </x:c>
      <x:c r="C9" s="20" t="n">
        <x:v>1</x:v>
      </x:c>
      <x:c r="D9" s="20" t="n">
        <x:v>1</x:v>
      </x:c>
      <x:c r="E9" s="20" t="n">
        <x:v>2</x:v>
      </x:c>
      <x:c r="F9" s="62" t="n">
        <x:f>(C9+4*D9+E9)/6</x:f>
        <x:v>1.1666666666666667</x:v>
      </x:c>
      <x:c r="G9" s="62" t="n">
        <x:f>((E9-C9)/6)^2</x:f>
        <x:v>0.027777777777777776</x:v>
      </x:c>
      <x:c r="H9" s="20" t="str">
        <x:v>E</x:v>
      </x:c>
      <x:c r="I9" s="20" t="str">
        <x:v>Complete</x:v>
      </x:c>
      <x:c r="J9" s="21" t="str">
        <x:v>Yes</x:v>
      </x:c>
    </x:row>
    <x:row r="10">
      <x:c r="A10" s="19" t="str">
        <x:v>G</x:v>
      </x:c>
      <x:c r="B10" s="20" t="str">
        <x:v>Gantt/CPA/PERT</x:v>
      </x:c>
      <x:c r="C10" s="20" t="n">
        <x:v>1</x:v>
      </x:c>
      <x:c r="D10" s="20" t="n">
        <x:v>1</x:v>
      </x:c>
      <x:c r="E10" s="20" t="n">
        <x:v>2</x:v>
      </x:c>
      <x:c r="F10" s="62" t="n">
        <x:f>(C10+4*D10+E10)/6</x:f>
        <x:v>1.1666666666666667</x:v>
      </x:c>
      <x:c r="G10" s="62" t="n">
        <x:f>((E10-C10)/6)^2</x:f>
        <x:v>0.027777777777777776</x:v>
      </x:c>
      <x:c r="H10" s="20" t="str">
        <x:v>F</x:v>
      </x:c>
      <x:c r="I10" s="20" t="str">
        <x:v>Complete</x:v>
      </x:c>
      <x:c r="J10" s="21" t="str">
        <x:v>Yes</x:v>
      </x:c>
    </x:row>
    <x:row r="11">
      <x:c r="A11" s="19" t="str">
        <x:v>H</x:v>
      </x:c>
      <x:c r="B11" s="20" t="str">
        <x:v>Final package</x:v>
      </x:c>
      <x:c r="C11" s="20" t="n">
        <x:v>1</x:v>
      </x:c>
      <x:c r="D11" s="20" t="n">
        <x:v>1</x:v>
      </x:c>
      <x:c r="E11" s="20" t="n">
        <x:v>2</x:v>
      </x:c>
      <x:c r="F11" s="62" t="n">
        <x:f>(C11+4*D11+E11)/6</x:f>
        <x:v>1.1666666666666667</x:v>
      </x:c>
      <x:c r="G11" s="62" t="n">
        <x:f>((E11-C11)/6)^2</x:f>
        <x:v>0.027777777777777776</x:v>
      </x:c>
      <x:c r="H11" s="20" t="str">
        <x:v>G</x:v>
      </x:c>
      <x:c r="I11" s="20" t="str">
        <x:v>Complete</x:v>
      </x:c>
      <x:c r="J11" s="21" t="str">
        <x:v>Yes</x:v>
      </x:c>
    </x:row>
    <x:row r="12">
      <x:c r="A12" s="19"/>
      <x:c r="B12" s="20"/>
      <x:c r="C12" s="20"/>
      <x:c r="D12" s="20"/>
      <x:c r="E12" s="20"/>
      <x:c r="F12" s="20"/>
      <x:c r="G12" s="20"/>
      <x:c r="H12" s="20"/>
      <x:c r="I12" s="20"/>
      <x:c r="J12" s="21"/>
    </x:row>
    <x:row r="13">
      <x:c r="A13" s="56" t="str">
        <x:v>PERT Chart Image</x:v>
      </x:c>
      <x:c r="B13" s="20" t="str">
        <x:v>RouteWise_Compass_PERT_Critical_Path.png</x:v>
      </x:c>
      <x:c r="C13" s="20" t="str"/>
      <x:c r="D13" s="20" t="str"/>
      <x:c r="E13" s="20" t="str"/>
      <x:c r="F13" s="20" t="str"/>
      <x:c r="G13" s="20" t="str"/>
      <x:c r="H13" s="20" t="str"/>
      <x:c r="I13" s="20" t="str"/>
      <x:c r="J13" s="21" t="str"/>
    </x:row>
    <x:row r="14">
      <x:c r="A14" s="56" t="str">
        <x:v>PERT Summary</x:v>
      </x:c>
      <x:c r="B14" s="20" t="str">
        <x:v>All tasks are complete; routeData and screenshot evidence lowered submission risk.</x:v>
      </x:c>
      <x:c r="C14" s="20" t="str"/>
      <x:c r="D14" s="20" t="str"/>
      <x:c r="E14" s="20" t="str"/>
      <x:c r="F14" s="20" t="str"/>
      <x:c r="G14" s="20" t="str"/>
      <x:c r="H14" s="20" t="str"/>
      <x:c r="I14" s="20" t="str"/>
      <x:c r="J14" s="21" t="str"/>
    </x:row>
    <x:row r="15">
      <x:c r="A15" s="56" t="str">
        <x:v>Main Risk Controlled</x:v>
      </x:c>
      <x:c r="B15" s="20" t="str">
        <x:v>Canvas may reject ZIP; individual files are also provided.</x:v>
      </x:c>
      <x:c r="C15" s="20" t="str"/>
      <x:c r="D15" s="20" t="str"/>
      <x:c r="E15" s="20" t="str"/>
      <x:c r="F15" s="20" t="str"/>
      <x:c r="G15" s="20" t="str"/>
      <x:c r="H15" s="20" t="str"/>
      <x:c r="I15" s="20" t="str"/>
      <x:c r="J15" s="21" t="str"/>
    </x:row>
    <x:row r="16">
      <x:c r="A16" s="57" t="str">
        <x:v>Conclusion</x:v>
      </x:c>
      <x:c r="B16" s="23" t="str">
        <x:v>Updated project management artifacts are ready.</x:v>
      </x:c>
      <x:c r="C16" s="23" t="str"/>
      <x:c r="D16" s="23" t="str"/>
      <x:c r="E16" s="23" t="str"/>
      <x:c r="F16" s="23" t="str"/>
      <x:c r="G16" s="23" t="str"/>
      <x:c r="H16" s="23" t="str"/>
      <x:c r="I16" s="23" t="str"/>
      <x:c r="J16" s="24" t="str"/>
    </x:row>
  </x:sheetData>
  <x:mergeCells>
    <x:mergeCell ref="A1:J1"/>
    <x:mergeCell ref="B13:J16"/>
  </x:mergeCells>
  <x:conditionalFormatting sqref="I4:I11">
    <x:cfRule type="expression" dxfId="5" priority="1">
      <x:formula>I4="Complete"</x:formula>
    </x:cfRule>
  </x:conditionalFormatting>
  <x:conditionalFormatting sqref="J4:J11">
    <x:cfRule type="expression" dxfId="6" priority="2">
      <x:formula>J4="Yes"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8" t="str">
        <x:v>RouteWise Compass Screenshot Evidence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38" t="str">
        <x:v>Screenshot</x:v>
      </x:c>
      <x:c r="B3" s="39" t="str">
        <x:v>Page</x:v>
      </x:c>
      <x:c r="C3" s="39" t="str">
        <x:v>Purpose</x:v>
      </x:c>
      <x:c r="D3" s="39" t="str">
        <x:v>File Name</x:v>
      </x:c>
      <x:c r="E3" s="39" t="str">
        <x:v>Status</x:v>
      </x:c>
      <x:c r="F3" s="40" t="str">
        <x:v>Notes</x:v>
      </x:c>
    </x:row>
    <x:row r="4">
      <x:c r="A4" s="19" t="str">
        <x:v>1</x:v>
      </x:c>
      <x:c r="B4" s="20" t="str">
        <x:v>Trip Inputs</x:v>
      </x:c>
      <x:c r="C4" s="20" t="str">
        <x:v>Shows user inputs and decision priorities</x:v>
      </x:c>
      <x:c r="D4" s="20" t="str">
        <x:v>01_Trip_Inputs.png</x:v>
      </x:c>
      <x:c r="E4" s="20" t="str">
        <x:v>Complete</x:v>
      </x:c>
      <x:c r="F4" s="21" t="str">
        <x:v>State/city, budget, days, sliders</x:v>
      </x:c>
    </x:row>
    <x:row r="5">
      <x:c r="A5" s="19" t="str">
        <x:v>2</x:v>
      </x:c>
      <x:c r="B5" s="20" t="str">
        <x:v>Travel Advisor</x:v>
      </x:c>
      <x:c r="C5" s="20" t="str">
        <x:v>Shows recommendation and reasoning</x:v>
      </x:c>
      <x:c r="D5" s="20" t="str">
        <x:v>02_Travel_Advisor.png</x:v>
      </x:c>
      <x:c r="E5" s="20" t="str">
        <x:v>Complete</x:v>
      </x:c>
      <x:c r="F5" s="21" t="str">
        <x:v>Best plan and why</x:v>
      </x:c>
    </x:row>
    <x:row r="6">
      <x:c r="A6" s="19" t="str">
        <x:v>3</x:v>
      </x:c>
      <x:c r="B6" s="20" t="str">
        <x:v>USA Map</x:v>
      </x:c>
      <x:c r="C6" s="20" t="str">
        <x:v>Shows USA map route preview</x:v>
      </x:c>
      <x:c r="D6" s="20" t="str">
        <x:v>03_USA_Map_Route.png</x:v>
      </x:c>
      <x:c r="E6" s="20" t="str">
        <x:v>Complete</x:v>
      </x:c>
      <x:c r="F6" s="21" t="str">
        <x:v>Start/destination/stops</x:v>
      </x:c>
    </x:row>
    <x:row r="7">
      <x:c r="A7" s="19" t="str">
        <x:v>4</x:v>
      </x:c>
      <x:c r="B7" s="20" t="str">
        <x:v>Compare Options</x:v>
      </x:c>
      <x:c r="C7" s="20" t="str">
        <x:v>Shows mode comparison</x:v>
      </x:c>
      <x:c r="D7" s="20" t="str">
        <x:v>04_Compare_Options.png</x:v>
      </x:c>
      <x:c r="E7" s="20" t="str">
        <x:v>Complete</x:v>
      </x:c>
      <x:c r="F7" s="21" t="str">
        <x:v>Drive/fly/train/bus/bike/mixed</x:v>
      </x:c>
    </x:row>
    <x:row r="8">
      <x:c r="A8" s="19" t="str">
        <x:v>5</x:v>
      </x:c>
      <x:c r="B8" s="20" t="str">
        <x:v>Itinerary</x:v>
      </x:c>
      <x:c r="C8" s="20" t="str">
        <x:v>Shows recommended itinerary</x:v>
      </x:c>
      <x:c r="D8" s="20" t="str">
        <x:v>05_Itinerary.png</x:v>
      </x:c>
      <x:c r="E8" s="20" t="str">
        <x:v>Complete</x:v>
      </x:c>
      <x:c r="F8" s="21" t="str">
        <x:v>Step-by-step plan</x:v>
      </x:c>
    </x:row>
    <x:row r="9">
      <x:c r="A9" s="19" t="str">
        <x:v>6</x:v>
      </x:c>
      <x:c r="B9" s="20" t="str">
        <x:v>Stops + Stays</x:v>
      </x:c>
      <x:c r="C9" s="20" t="str">
        <x:v>Shows specific stops/stays</x:v>
      </x:c>
      <x:c r="D9" s="20" t="str">
        <x:v>06_Stops_Stays.png</x:v>
      </x:c>
      <x:c r="E9" s="20" t="str">
        <x:v>Complete</x:v>
      </x:c>
      <x:c r="F9" s="21" t="str">
        <x:v>Where + why</x:v>
      </x:c>
    </x:row>
    <x:row r="10">
      <x:c r="A10" s="19" t="str">
        <x:v>7</x:v>
      </x:c>
      <x:c r="B10" s="20" t="str">
        <x:v>Explore Nearby</x:v>
      </x:c>
      <x:c r="C10" s="20" t="str">
        <x:v>Shows things to see</x:v>
      </x:c>
      <x:c r="D10" s="20" t="str">
        <x:v>07_Explore_Nearby.png</x:v>
      </x:c>
      <x:c r="E10" s="20" t="str">
        <x:v>Complete</x:v>
      </x:c>
      <x:c r="F10" s="21" t="str">
        <x:v>Route + destination / fly destination-only</x:v>
      </x:c>
    </x:row>
    <x:row r="11">
      <x:c r="A11" s="22" t="str">
        <x:v>8</x:v>
      </x:c>
      <x:c r="B11" s="23" t="str">
        <x:v>Packing + Safety</x:v>
      </x:c>
      <x:c r="C11" s="23" t="str">
        <x:v>Shows checklist</x:v>
      </x:c>
      <x:c r="D11" s="23" t="str">
        <x:v>08_Packing_Safety.png</x:v>
      </x:c>
      <x:c r="E11" s="23" t="str">
        <x:v>Complete</x:v>
      </x:c>
      <x:c r="F11" s="24" t="str">
        <x:v>Safety and backup planning</x:v>
      </x:c>
    </x:row>
  </x:sheetData>
  <x:mergeCells>
    <x:mergeCell ref="A1:H1"/>
  </x:mergeCells>
  <x:conditionalFormatting sqref="E4:E11">
    <x:cfRule type="expression" dxfId="7" priority="1">
      <x:formula>E4="Complete"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8" t="str">
        <x:v>RouteWise Compass Enhancement Change Log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</x:row>
    <x:row r="3">
      <x:c r="A3" s="38" t="str">
        <x:v>Change ID</x:v>
      </x:c>
      <x:c r="B3" s="39" t="str">
        <x:v>Old Issue</x:v>
      </x:c>
      <x:c r="C3" s="39" t="str">
        <x:v>Updated Change</x:v>
      </x:c>
      <x:c r="D3" s="39" t="str">
        <x:v>Reason</x:v>
      </x:c>
      <x:c r="E3" s="39" t="str">
        <x:v>Result</x:v>
      </x:c>
      <x:c r="F3" s="39" t="str">
        <x:v>Evidence</x:v>
      </x:c>
      <x:c r="G3" s="39" t="str">
        <x:v>Status</x:v>
      </x:c>
      <x:c r="H3" s="40" t="str">
        <x:v>Color Code</x:v>
      </x:c>
    </x:row>
    <x:row r="4">
      <x:c r="A4" s="19" t="str">
        <x:v>CH-1</x:v>
      </x:c>
      <x:c r="B4" s="20" t="str">
        <x:v>Website looked bland</x:v>
      </x:c>
      <x:c r="C4" s="20" t="str">
        <x:v>Redesigned with RouteWise Compass style and stronger layout</x:v>
      </x:c>
      <x:c r="D4" s="20" t="str">
        <x:v>Make it feel like a real app</x:v>
      </x:c>
      <x:c r="E4" s="20" t="str">
        <x:v>Improved usability and presentation</x:v>
      </x:c>
      <x:c r="F4" s="20" t="str">
        <x:v>Screenshots 1-8</x:v>
      </x:c>
      <x:c r="G4" s="20" t="str">
        <x:v>Complete</x:v>
      </x:c>
      <x:c r="H4" s="21" t="str">
        <x:v>Green</x:v>
      </x:c>
    </x:row>
    <x:row r="5">
      <x:c r="A5" s="19" t="str">
        <x:v>CH-2</x:v>
      </x:c>
      <x:c r="B5" s="20" t="str">
        <x:v>Map looked weak</x:v>
      </x:c>
      <x:c r="C5" s="20" t="str">
        <x:v>Added USA map-style route preview</x:v>
      </x:c>
      <x:c r="D5" s="20" t="str">
        <x:v>Users need visual route context</x:v>
      </x:c>
      <x:c r="E5" s="20" t="str">
        <x:v>Start, stop, destination, route line shown</x:v>
      </x:c>
      <x:c r="F5" s="20" t="str">
        <x:v>Screenshot 3</x:v>
      </x:c>
      <x:c r="G5" s="20" t="str">
        <x:v>Complete</x:v>
      </x:c>
      <x:c r="H5" s="21" t="str">
        <x:v>Green</x:v>
      </x:c>
    </x:row>
    <x:row r="6">
      <x:c r="A6" s="19" t="str">
        <x:v>CH-3</x:v>
      </x:c>
      <x:c r="B6" s="20" t="str">
        <x:v>Stops/stays too generic</x:v>
      </x:c>
      <x:c r="C6" s="20" t="str">
        <x:v>Added specific stop/stay names with where and why</x:v>
      </x:c>
      <x:c r="D6" s="20" t="str">
        <x:v>Make guidance useful</x:v>
      </x:c>
      <x:c r="E6" s="20" t="str">
        <x:v>Traveler knows what to actually do</x:v>
      </x:c>
      <x:c r="F6" s="20" t="str">
        <x:v>Screenshot 6</x:v>
      </x:c>
      <x:c r="G6" s="20" t="str">
        <x:v>Complete</x:v>
      </x:c>
      <x:c r="H6" s="21" t="str">
        <x:v>Green</x:v>
      </x:c>
    </x:row>
    <x:row r="7">
      <x:c r="A7" s="19" t="str">
        <x:v>CH-4</x:v>
      </x:c>
      <x:c r="B7" s="20" t="str">
        <x:v>Explore page inaccurate for fly</x:v>
      </x:c>
      <x:c r="C7" s="20" t="str">
        <x:v>Fly mode now shows destination-only attractions</x:v>
      </x:c>
      <x:c r="D7" s="20" t="str">
        <x:v>Flying skips road stops</x:v>
      </x:c>
      <x:c r="E7" s="20" t="str">
        <x:v>Explore logic is mode-aware</x:v>
      </x:c>
      <x:c r="F7" s="20" t="str">
        <x:v>Screenshot 7</x:v>
      </x:c>
      <x:c r="G7" s="20" t="str">
        <x:v>Complete</x:v>
      </x:c>
      <x:c r="H7" s="21" t="str">
        <x:v>Orange</x:v>
      </x:c>
    </x:row>
    <x:row r="8">
      <x:c r="A8" s="19" t="str">
        <x:v>CH-5</x:v>
      </x:c>
      <x:c r="B8" s="20" t="str">
        <x:v>Only drive/fly focus</x:v>
      </x:c>
      <x:c r="C8" s="20" t="str">
        <x:v>Expanded to drive, fly, train, bus, bike, mixed</x:v>
      </x:c>
      <x:c r="D8" s="20" t="str">
        <x:v>Match concept</x:v>
      </x:c>
      <x:c r="E8" s="20" t="str">
        <x:v>Better decision options</x:v>
      </x:c>
      <x:c r="F8" s="20" t="str">
        <x:v>Screenshot 4</x:v>
      </x:c>
      <x:c r="G8" s="20" t="str">
        <x:v>Complete</x:v>
      </x:c>
      <x:c r="H8" s="21" t="str">
        <x:v>Green</x:v>
      </x:c>
    </x:row>
    <x:row r="9">
      <x:c r="A9" s="22" t="str">
        <x:v>CH-6</x:v>
      </x:c>
      <x:c r="B9" s="23" t="str">
        <x:v>Missing submission evidence</x:v>
      </x:c>
      <x:c r="C9" s="23" t="str">
        <x:v>Added screenshots, Gantt, CPA, PERT</x:v>
      </x:c>
      <x:c r="D9" s="23" t="str">
        <x:v>Canvas deliverables require it</x:v>
      </x:c>
      <x:c r="E9" s="23" t="str">
        <x:v>Full evidence package ready</x:v>
      </x:c>
      <x:c r="F9" s="23" t="str">
        <x:v>Workbook + PNGs</x:v>
      </x:c>
      <x:c r="G9" s="23" t="str">
        <x:v>Complete</x:v>
      </x:c>
      <x:c r="H9" s="24" t="str">
        <x:v>Green</x:v>
      </x:c>
    </x:row>
  </x:sheetData>
  <x:mergeCells>
    <x:mergeCell ref="A1:H1"/>
  </x:mergeCells>
  <x:conditionalFormatting sqref="G4:G9">
    <x:cfRule type="expression" dxfId="8" priority="1">
      <x:formula>G4="Complete"</x:formula>
    </x:cfRule>
  </x:conditionalFormatting>
  <x:conditionalFormatting sqref="H4:H9">
    <x:cfRule type="expression" dxfId="9" priority="2">
      <x:formula>H4="Orange"</x:formula>
    </x:cfRule>
  </x:conditionalFormatting>
  <x:pageMargins left="0.7" right="0.7" top="0.75" bottom="0.75" header="0.3" footer="0.3"/>
</x:worksheet>
</file>